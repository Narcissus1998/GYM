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<sst xmlns="http://schemas.openxmlformats.org/spreadsheetml/2006/main" count="51" uniqueCount="40">
  <si>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基础信息</t>
  </si>
  <si>
    <t>碳循环</t>
  </si>
  <si>
    <t>碳水</t>
  </si>
  <si>
    <t>蛋白质</t>
  </si>
  <si>
    <t>脂肪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</si>
  <si>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</si>
  <si>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</si>
  <si>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</si>
  <si>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</si>
  <si>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</si>
  <si>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</si>
  <si>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</si>
  <si>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</si>
  <si>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身高</t>
  </si>
  <si>
    <t>标准</t>
  </si>
  <si>
    <t>安排</t>
  </si>
  <si>
    <t>中</t>
  </si>
  <si>
    <t>高</t>
  </si>
  <si>
    <t>低</t>
  </si>
  <si>
    <t>体重</t>
  </si>
  <si>
    <t>日摄入量</t>
  </si>
  <si>
    <t>年龄</t>
  </si>
  <si>
    <t>周摄入量</t>
  </si>
  <si>
    <t>性别</t>
  </si>
  <si>
    <t>男</t>
  </si>
  <si>
    <t>高碳</t>
  </si>
  <si>
    <t>基础代谢</t>
  </si>
  <si>
    <t>中碳</t>
  </si>
  <si>
    <t>摄入热量</t>
  </si>
  <si>
    <t>训练时间</t>
  </si>
  <si>
    <t>低碳</t>
  </si>
  <si>
    <t>热量赤字</t>
  </si>
  <si>
    <t>新手/女生</t>
  </si>
  <si>
    <t>训练消耗</t>
  </si>
  <si>
    <t>每日消耗</t>
  </si>
  <si>
    <t>热量
大卡</t>
  </si>
  <si>
    <t>体质</t>
  </si>
  <si>
    <t>中胚</t>
  </si>
  <si>
    <t>内</t>
  </si>
  <si>
    <t>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</si>
</sst>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2"/>
      <color theme="1"/>
      <name val="黑体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b/>
      <sz val="12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workbookViewId="0">
      <selection activeCell="K8" sqref="K8"/>
    </sheetView>
  </sheetViews>
  <sheetFormatPr defaultColWidth="8.89166666666667" defaultRowHeight="13.5"/>
  <cols>
    <col min="1" max="1" width="7.775" customWidth="1"/>
    <col min="2" max="2" width="8.66666666666667" customWidth="1"/>
    <col min="3" max="3" width="10.6666666666667" customWidth="1"/>
    <col min="4" max="4" width="8.66666666666667" customWidth="1"/>
    <col min="6" max="6" width="9.44166666666667" customWidth="1"/>
    <col min="11" max="11" width="12.6666666666667" customWidth="1"/>
    <col min="12" max="18" width="9.55833333333333" customWidth="1"/>
  </cols>
  <sheetData>
    <row r="1" ht="18" spans="1:18">
      <c r="A1" s="1" t="s">
        <v>0</v>
      </c>
      <c r="B1" s="1"/>
      <c r="C1" s="1"/>
      <c r="D1" s="1"/>
      <c r="F1" s="2" t="s">
        <v>1</v>
      </c>
      <c r="G1" s="3" t="s">
        <v>2</v>
      </c>
      <c r="H1" s="3" t="s">
        <v>3</v>
      </c>
      <c r="I1" s="3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</row>
    <row r="2" ht="16.5" spans="1:18">
      <c r="A2" s="5" t="s">
        <v>13</v>
      </c>
      <c r="B2" s="5"/>
      <c r="C2" s="6">
        <v>165</v>
      </c>
      <c r="D2" s="6"/>
      <c r="F2" s="3" t="s">
        <v>14</v>
      </c>
      <c r="G2" s="3">
        <f>IF($B$13="内胚",2,IF($B$13="中胚",2.5,IF($B$13="外胚",3,"")))</f>
        <v>2.5</v>
      </c>
      <c r="H2" s="3">
        <f>IF($B$13="内胚",1.2,IF($B$13="中胚",1.4,IF($B$13="外胚",1.6,"")))</f>
        <v>1.4</v>
      </c>
      <c r="I2" s="3">
        <f>IF($B$13="内胚",0.6,IF($B$13="中胚",0.7,IF($B$13="外胚",0.8,"")))</f>
        <v>0.7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16</v>
      </c>
      <c r="P2" s="7" t="s">
        <v>17</v>
      </c>
      <c r="Q2" s="7" t="s">
        <v>18</v>
      </c>
      <c r="R2" s="7" t="s">
        <v>16</v>
      </c>
    </row>
    <row r="3" ht="16.5" spans="1:18">
      <c r="A3" s="8" t="s">
        <v>19</v>
      </c>
      <c r="B3" s="8"/>
      <c r="C3" s="6">
        <v>65</v>
      </c>
      <c r="D3" s="6"/>
      <c r="F3" s="3" t="s">
        <v>20</v>
      </c>
      <c r="G3" s="3">
        <f>G2*$C$3</f>
        <v>162.5</v>
      </c>
      <c r="H3" s="3">
        <f>H2*$C$3</f>
        <v>91</v>
      </c>
      <c r="I3" s="3">
        <f>I2*$C$3</f>
        <v>45.5</v>
      </c>
      <c r="K3" s="9" t="s">
        <v>2</v>
      </c>
      <c r="L3" s="10">
        <f>$G$6</f>
        <v>132.708333333333</v>
      </c>
      <c r="M3" s="10">
        <f>$G$5</f>
        <v>284.375</v>
      </c>
      <c r="N3" s="10">
        <f>$G$7</f>
        <v>85.3125</v>
      </c>
      <c r="O3" s="10">
        <f>$G$6</f>
        <v>132.708333333333</v>
      </c>
      <c r="P3" s="10">
        <f>$G$5</f>
        <v>284.375</v>
      </c>
      <c r="Q3" s="10">
        <f>$G$7</f>
        <v>85.3125</v>
      </c>
      <c r="R3" s="10">
        <f>$G$6</f>
        <v>132.708333333333</v>
      </c>
    </row>
    <row r="4" ht="16.5" spans="1:18">
      <c r="A4" s="5" t="s">
        <v>21</v>
      </c>
      <c r="B4" s="5"/>
      <c r="C4" s="6">
        <v>28</v>
      </c>
      <c r="D4" s="6"/>
      <c r="F4" s="3" t="s">
        <v>22</v>
      </c>
      <c r="G4" s="3">
        <f>G3*7</f>
        <v>1137.5</v>
      </c>
      <c r="H4" s="3">
        <f>H3*7</f>
        <v>637</v>
      </c>
      <c r="I4" s="3">
        <f>I3*7</f>
        <v>318.5</v>
      </c>
      <c r="K4" s="7" t="s">
        <v>3</v>
      </c>
      <c r="L4" s="11">
        <f>$H$6</f>
        <v>91</v>
      </c>
      <c r="M4" s="11">
        <f>$H$5</f>
        <v>91</v>
      </c>
      <c r="N4" s="11">
        <f>$H$7</f>
        <v>91</v>
      </c>
      <c r="O4" s="11">
        <f>$H$6</f>
        <v>91</v>
      </c>
      <c r="P4" s="11">
        <f>$H$5</f>
        <v>91</v>
      </c>
      <c r="Q4" s="11">
        <f>$H$7</f>
        <v>91</v>
      </c>
      <c r="R4" s="11">
        <f>$H$6</f>
        <v>91</v>
      </c>
    </row>
    <row r="5" ht="16.5" spans="1:18">
      <c r="A5" s="8" t="s">
        <v>23</v>
      </c>
      <c r="B5" s="8"/>
      <c r="C5" s="6" t="s">
        <v>24</v>
      </c>
      <c r="D5" s="6"/>
      <c r="F5" s="3" t="s">
        <v>25</v>
      </c>
      <c r="G5" s="3">
        <f>G4*0.5/2</f>
        <v>284.375</v>
      </c>
      <c r="H5" s="3">
        <f>H3</f>
        <v>91</v>
      </c>
      <c r="I5" s="3">
        <f>I4*0.2/2</f>
        <v>31.85</v>
      </c>
      <c r="K5" s="9" t="s">
        <v>4</v>
      </c>
      <c r="L5" s="10">
        <f>$I$6</f>
        <v>37.1583333333333</v>
      </c>
      <c r="M5" s="10">
        <f>$I$5</f>
        <v>31.85</v>
      </c>
      <c r="N5" s="10">
        <f>$I$7</f>
        <v>71.6625</v>
      </c>
      <c r="O5" s="10">
        <f>$I$6</f>
        <v>37.1583333333333</v>
      </c>
      <c r="P5" s="10">
        <f>$I$5</f>
        <v>31.85</v>
      </c>
      <c r="Q5" s="10">
        <f>$I$7</f>
        <v>71.6625</v>
      </c>
      <c r="R5" s="10">
        <f>$I$6</f>
        <v>37.1583333333333</v>
      </c>
    </row>
    <row r="6" ht="16.5" spans="1:18">
      <c r="A6" s="5" t="s">
        <v>26</v>
      </c>
      <c r="B6" s="5"/>
      <c r="C6" s="5">
        <f>IF(C5="男",10*C3+6.25*C2-5*C4+5,IF(C5="女",10*C3+6.25*C2-5*C4-161,""))</f>
        <v>1546.25</v>
      </c>
      <c r="D6" s="5"/>
      <c r="F6" s="3" t="s">
        <v>27</v>
      </c>
      <c r="G6" s="3">
        <f>G4*0.35/3</f>
        <v>132.708333333333</v>
      </c>
      <c r="H6" s="3">
        <f>H3</f>
        <v>91</v>
      </c>
      <c r="I6" s="3">
        <f>I4*0.35/3</f>
        <v>37.1583333333333</v>
      </c>
      <c r="K6" s="12" t="s">
        <v>28</v>
      </c>
      <c r="L6" s="12">
        <f>L3*$B$12+L4*$C$12+L5*$D$12</f>
        <v>1229.25833333333</v>
      </c>
      <c r="M6" s="12">
        <f t="shared" ref="M6:R6" si="0">M3*$B$12+M4*$C$12+M5*$D$12</f>
        <v>1788.15</v>
      </c>
      <c r="N6" s="12">
        <f t="shared" si="0"/>
        <v>1350.2125</v>
      </c>
      <c r="O6" s="12">
        <f t="shared" si="0"/>
        <v>1229.25833333333</v>
      </c>
      <c r="P6" s="12">
        <f t="shared" si="0"/>
        <v>1788.15</v>
      </c>
      <c r="Q6" s="12">
        <f t="shared" si="0"/>
        <v>1350.2125</v>
      </c>
      <c r="R6" s="12">
        <f t="shared" si="0"/>
        <v>1229.25833333333</v>
      </c>
    </row>
    <row r="7" ht="16.5" spans="1:18">
      <c r="A7" s="8" t="s">
        <v>29</v>
      </c>
      <c r="B7" s="8"/>
      <c r="C7" s="6">
        <v>80</v>
      </c>
      <c r="D7" s="6"/>
      <c r="F7" s="3" t="s">
        <v>30</v>
      </c>
      <c r="G7" s="3">
        <f>G4*0.15/2</f>
        <v>85.3125</v>
      </c>
      <c r="H7" s="3">
        <f>H3</f>
        <v>91</v>
      </c>
      <c r="I7" s="3">
        <f>I4*0.45/2</f>
        <v>71.6625</v>
      </c>
      <c r="K7" s="9" t="s">
        <v>31</v>
      </c>
      <c r="L7" s="13">
        <f>$C$10-L6</f>
        <v>956.991666666667</v>
      </c>
      <c r="M7" s="13">
        <f t="shared" ref="M7:R7" si="1">$C$10-M6</f>
        <v>398.1</v>
      </c>
      <c r="N7" s="13">
        <f t="shared" si="1"/>
        <v>836.0375</v>
      </c>
      <c r="O7" s="13">
        <f t="shared" si="1"/>
        <v>956.991666666667</v>
      </c>
      <c r="P7" s="13">
        <f t="shared" si="1"/>
        <v>398.1</v>
      </c>
      <c r="Q7" s="13">
        <f t="shared" si="1"/>
        <v>836.0375</v>
      </c>
      <c r="R7" s="13">
        <f t="shared" si="1"/>
        <v>956.991666666667</v>
      </c>
    </row>
    <row r="8" ht="15" spans="1:18">
      <c r="A8" s="6" t="s">
        <v>32</v>
      </c>
      <c r="B8" s="6"/>
      <c r="C8" s="14">
        <v>8</v>
      </c>
      <c r="D8" s="14"/>
      <c r="F8" s="15"/>
      <c r="G8" s="15"/>
      <c r="H8" s="15"/>
      <c r="I8" s="15"/>
    </row>
    <row r="9" ht="15" spans="1:18">
      <c r="A9" s="8" t="s">
        <v>33</v>
      </c>
      <c r="B9" s="8"/>
      <c r="C9" s="8">
        <f>C7*C8</f>
        <v>640</v>
      </c>
      <c r="D9" s="8"/>
    </row>
    <row r="10" ht="15" spans="1:18">
      <c r="A10" s="5" t="s">
        <v>34</v>
      </c>
      <c r="B10" s="5"/>
      <c r="C10" s="5">
        <f>C6+C9</f>
        <v>2186.25</v>
      </c>
      <c r="D10" s="5"/>
    </row>
    <row r="11" ht="15" spans="1:18">
      <c r="A11" s="16" t="s">
        <v>35</v>
      </c>
      <c r="B11" s="8" t="s">
        <v>2</v>
      </c>
      <c r="C11" s="8" t="s">
        <v>3</v>
      </c>
      <c r="D11" s="8" t="s">
        <v>4</v>
      </c>
    </row>
    <row r="12" ht="15" spans="1:18">
      <c r="A12" s="17"/>
      <c r="B12" s="18">
        <v>4</v>
      </c>
      <c r="C12" s="18">
        <v>4</v>
      </c>
      <c r="D12" s="18">
        <v>9</v>
      </c>
    </row>
    <row r="13" ht="14.25" spans="1:18">
      <c r="A13" s="19" t="s">
        <v>36</v>
      </c>
      <c r="B13" s="20" t="s">
        <v>37</v>
      </c>
      <c r="C13" s="20"/>
      <c r="D13" s="20"/>
    </row>
    <row r="32" spans="1:4">
      <c r="A32" s="21" t="s">
        <v>38</v>
      </c>
      <c r="B32" s="22">
        <v>2</v>
      </c>
      <c r="C32" s="22">
        <v>1.2</v>
      </c>
      <c r="D32" s="22">
        <v>0.8</v>
      </c>
    </row>
    <row r="33" spans="1:4">
      <c r="A33" s="21" t="s">
        <v>16</v>
      </c>
      <c r="B33" s="22">
        <v>2.5</v>
      </c>
      <c r="C33" s="22">
        <v>1.2</v>
      </c>
      <c r="D33" s="22">
        <v>0.9</v>
      </c>
    </row>
    <row r="34" spans="1:4">
      <c r="A34" s="21" t="s">
        <v>39</v>
      </c>
      <c r="B34" s="22">
        <v>3</v>
      </c>
      <c r="C34" s="22">
        <v>1.2</v>
      </c>
      <c r="D34" s="22">
        <v>1</v>
      </c>
    </row>
  </sheetData>
  <mergeCells count="21"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B13:D13"/>
    <mergeCell ref="A11:A12"/>
  </mergeCells>
  <dataValidations count="3">
    <dataValidation type="list" allowBlank="1" showInputMessage="1" showErrorMessage="1" sqref="C5:D5">
      <formula1>"男,女"</formula1>
    </dataValidation>
    <dataValidation type="list" allowBlank="1" showInputMessage="1" showErrorMessage="1" sqref="A8:B8">
      <formula1>"新手/女生,中手/爱好,老手/热爱"</formula1>
    </dataValidation>
    <dataValidation type="list" allowBlank="1" showInputMessage="1" showErrorMessage="1" sqref="B13:D13">
      <formula1>"内胚,中胚,外胚"</formula1>
    </dataValidation>
  </dataValidations>
  <pageMargins left="0.75" right="0.75" top="1" bottom="1" header="0.5" footer="0.5"/>
  <headerFooter/>
  <ignoredErrors>
    <ignoredError sqref="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不记</cp:lastModifiedBy>
  <dcterms:created xsi:type="dcterms:W3CDTF">2026-05-26T05:56:00Z</dcterms:created>
  <dcterms:modified xsi:type="dcterms:W3CDTF">2026-05-26T08:49:39Z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F8E03C81FAE948FB97AC4591F0BA5700_13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1</vt:i4>
  </property>
</Properties>
</file>